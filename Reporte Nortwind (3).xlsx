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5"/>
    <sheet state="visible" name="Gráficos " sheetId="2" r:id="rId6"/>
    <sheet state="visible" name="Queries" sheetId="3" r:id="rId7"/>
  </sheets>
  <definedNames/>
  <calcPr/>
</workbook>
</file>

<file path=xl/sharedStrings.xml><?xml version="1.0" encoding="utf-8"?>
<sst xmlns="http://schemas.openxmlformats.org/spreadsheetml/2006/main" count="127" uniqueCount="104">
  <si>
    <t>Facturación Total por Año</t>
  </si>
  <si>
    <t>Facturación por Mes 1997</t>
  </si>
  <si>
    <t>Ventas Totales por Año "Condimentos</t>
  </si>
  <si>
    <t>Envios por United Package, Federal Shipping, Speedy Shipping</t>
  </si>
  <si>
    <t>Facturación por Mes - Bebidas y Confites</t>
  </si>
  <si>
    <t>Año</t>
  </si>
  <si>
    <t>Facturacion</t>
  </si>
  <si>
    <t>Mes</t>
  </si>
  <si>
    <t>CompanyName</t>
  </si>
  <si>
    <t>TotalPedidos</t>
  </si>
  <si>
    <t>MesNumero</t>
  </si>
  <si>
    <t>Facturacion_Bebidas</t>
  </si>
  <si>
    <t>Facturacion_Confites</t>
  </si>
  <si>
    <t>Enero</t>
  </si>
  <si>
    <t>United Package</t>
  </si>
  <si>
    <t>Febrero</t>
  </si>
  <si>
    <t>Federal Shipping</t>
  </si>
  <si>
    <t>Marzo</t>
  </si>
  <si>
    <t>Speedy Express</t>
  </si>
  <si>
    <t>Abril</t>
  </si>
  <si>
    <t>Mayo</t>
  </si>
  <si>
    <t>Junio</t>
  </si>
  <si>
    <t xml:space="preserve"> </t>
  </si>
  <si>
    <t>Julio</t>
  </si>
  <si>
    <t>Agosto</t>
  </si>
  <si>
    <t>Septiembre</t>
  </si>
  <si>
    <t>Octubre</t>
  </si>
  <si>
    <t>Noviembre</t>
  </si>
  <si>
    <t>$3,851,00</t>
  </si>
  <si>
    <t>Diciembre</t>
  </si>
  <si>
    <t>-- Ejercicio 35</t>
  </si>
  <si>
    <t>-- Calcular las ventas totales, clasificadas por año.</t>
  </si>
  <si>
    <t>-- Presentarlo en formato tabular y gráfico de columnas.</t>
  </si>
  <si>
    <t>SELECT</t>
  </si>
  <si>
    <t>strftime('%Y', OrderDate) AS Año,</t>
  </si>
  <si>
    <t>ROUND(SUM(ExtendedPrice), 2) AS Facturacion</t>
  </si>
  <si>
    <t>FROM Invoices</t>
  </si>
  <si>
    <t>GROUP BY strftime('%Y', OrderDate)</t>
  </si>
  <si>
    <t>ORDER BY Año;</t>
  </si>
  <si>
    <t>GROUP BY Year</t>
  </si>
  <si>
    <t>ORDER BY Year ASC;</t>
  </si>
  <si>
    <t>-- Ejercicio 36</t>
  </si>
  <si>
    <t>-- Calcular las ventas totales, clasificadas por mes, del año 1997.</t>
  </si>
  <si>
    <t>-- Presentarlo en formato tabular y gráfico de líneas.</t>
  </si>
  <si>
    <t>SELECT strftime('%m', o.OrderDate) AS Mes,</t>
  </si>
  <si>
    <t>SUM(od.UnitPrice * od.Quantity * (1 - od.Discount)) AS TotalVentas</t>
  </si>
  <si>
    <t>FROM Orders o</t>
  </si>
  <si>
    <t>JOIN 'Order Details' od ON o.OrderID = od.OrderID</t>
  </si>
  <si>
    <t>WHERE strftime('%Y', o.OrderDate) = '1997'</t>
  </si>
  <si>
    <t>GROUP BY Mes</t>
  </si>
  <si>
    <t>ORDER BY Mes ASC;</t>
  </si>
  <si>
    <t>-- Ejercicio 37</t>
  </si>
  <si>
    <t>-- Calcular las ventas totales, clasificadas por año, de la categoría 'Condimentos'.</t>
  </si>
  <si>
    <t>-- Presentarlo en formato tabular y gráfico de barras.</t>
  </si>
  <si>
    <t>CASE</t>
  </si>
  <si>
    <t>WHEN I.OrderDate LIKE '1996%' THEN '1996'</t>
  </si>
  <si>
    <t>WHEN I.OrderDate LIKE '1997%' THEN '1997'</t>
  </si>
  <si>
    <t>WHEN I.OrderDate LIKE '1998%' THEN '1998'</t>
  </si>
  <si>
    <t>ELSE 'Other'</t>
  </si>
  <si>
    <t>END AS Año,</t>
  </si>
  <si>
    <t>ROUND(SUM(I.ExtendedPrice), 2) AS Facturacion</t>
  </si>
  <si>
    <t>FROM Invoices I</t>
  </si>
  <si>
    <t>JOIN Products P</t>
  </si>
  <si>
    <t>ON I.ProductID = P.ProductID</t>
  </si>
  <si>
    <t>JOIN Categories C</t>
  </si>
  <si>
    <t>ON P.CategoryID = C.CategoryID</t>
  </si>
  <si>
    <t>WHERE C.CategoryName = 'Condiments'</t>
  </si>
  <si>
    <t>GROUP BY Año</t>
  </si>
  <si>
    <t>-- Ejercicio 38</t>
  </si>
  <si>
    <t>-- Mostrar cuántos pedidos fueron enviados por Speedy Express,</t>
  </si>
  <si>
    <t>-- United Package y Federal Shipping.</t>
  </si>
  <si>
    <t>-- Presentarlo en formato tabular y gráfico circular.</t>
  </si>
  <si>
    <t>SELECT sh.CompanyName, COUNT(*) AS TotalPedidos</t>
  </si>
  <si>
    <t>FROM Shippers sh</t>
  </si>
  <si>
    <t>JOIN Orders o ON sh.ShipperID = o.ShipVia</t>
  </si>
  <si>
    <t>GROUP BY sh.CompanyName</t>
  </si>
  <si>
    <t>ORDER BY TotalPedidos DESC;</t>
  </si>
  <si>
    <t>-- Ejercicio 39</t>
  </si>
  <si>
    <t>-- Mostrar la facturación mensual del año 1997, comparando las categorías</t>
  </si>
  <si>
    <t>-- 'Beverages' y 'Confections'. Cada fila debe representar un mes,</t>
  </si>
  <si>
    <t>-- y cada columna una categoría. Presentarlo en formato tabular y gráfico de líneas.</t>
  </si>
  <si>
    <t>CASE strftime('%m', I.OrderDate)</t>
  </si>
  <si>
    <t>WHEN '01' THEN 'Enero'</t>
  </si>
  <si>
    <t>WHEN '02' THEN 'Febrero'</t>
  </si>
  <si>
    <t>WHEN '03' THEN 'Marzo'</t>
  </si>
  <si>
    <t>WHEN '04' THEN 'Abril'</t>
  </si>
  <si>
    <t>WHEN '05' THEN 'Mayo'</t>
  </si>
  <si>
    <t>WHEN '06' THEN 'Junio'</t>
  </si>
  <si>
    <t>WHEN '07' THEN 'Julio'</t>
  </si>
  <si>
    <t>WHEN '08' THEN 'Agosto'</t>
  </si>
  <si>
    <t>WHEN '09' THEN 'Septiembre'</t>
  </si>
  <si>
    <t>WHEN '10' THEN 'Octubre'</t>
  </si>
  <si>
    <t>WHEN '11' THEN 'Noviembre'</t>
  </si>
  <si>
    <t>WHEN '12' THEN 'Diciembre'</t>
  </si>
  <si>
    <t>END AS Mes,</t>
  </si>
  <si>
    <t>strftime('%m', I.OrderDate) AS MesNumero,</t>
  </si>
  <si>
    <t>ROUND(SUM(CASE WHEN C.CategoryName = 'Beverages' THEN I.ExtendedPrice ELSE 0 END), 2) AS Facturacion_Bebidas,</t>
  </si>
  <si>
    <t>ROUND(SUM(CASE WHEN C.CategoryName = 'Confections' THEN I.ExtendedPrice ELSE 0 END), 2) AS Facturacion_Confites</t>
  </si>
  <si>
    <t>ON P.ProductID = I.ProductID</t>
  </si>
  <si>
    <t>WHERE I.OrderDate &gt;= '1997-01-01'</t>
  </si>
  <si>
    <t>AND I.OrderDate &lt; '1998-01-01'</t>
  </si>
  <si>
    <t>AND C.CategoryName IN ('Beverages', 'Confections')</t>
  </si>
  <si>
    <t>GROUP BY strftime('%m', I.OrderDate)</t>
  </si>
  <si>
    <t>ORDER BY I.OrderDate ASC;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</si>
</sst>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"/>
    <numFmt numFmtId="165" formatCode="[$$]#,##0.00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right" readingOrder="0"/>
    </xf>
    <xf borderId="1" fillId="0" fontId="1" numFmtId="165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65" xfId="0" applyAlignment="1" applyBorder="1" applyFont="1" applyNumberFormat="1">
      <alignment horizontal="right" readingOrder="0"/>
    </xf>
    <xf borderId="1" fillId="0" fontId="2" numFmtId="165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34343"/>
                </a:solidFill>
                <a:latin typeface="+mn-lt"/>
              </a:defRPr>
            </a:pPr>
            <a:r>
              <a:rPr b="0">
                <a:solidFill>
                  <a:srgbClr val="434343"/>
                </a:solidFill>
                <a:latin typeface="+mn-lt"/>
              </a:rPr>
              <a:t>Facturaciòn Total por Año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Resultados!$A$2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3D85C6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Resultados!$A$3:$A$5</c:f>
              <c:numCache/>
            </c:numRef>
          </c:val>
        </c:ser>
        <c:ser>
          <c:idx val="1"/>
          <c:order val="1"/>
          <c:tx>
            <c:strRef>
              <c:f>Resultados!$B$2</c:f>
            </c:strRef>
          </c:tx>
          <c:spPr>
            <a:solidFill>
              <a:srgbClr val="93C47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3D85C6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Resultados!$B$3:$B$5</c:f>
              <c:numCache/>
            </c:numRef>
          </c:val>
        </c:ser>
        <c:axId val="1618831210"/>
        <c:axId val="1026452688"/>
      </c:bar3DChart>
      <c:catAx>
        <c:axId val="16188312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6452688"/>
      </c:catAx>
      <c:valAx>
        <c:axId val="10264526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88312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34343"/>
                </a:solidFill>
                <a:latin typeface="+mn-lt"/>
              </a:defRPr>
            </a:pPr>
            <a:r>
              <a:rPr b="0">
                <a:solidFill>
                  <a:srgbClr val="434343"/>
                </a:solidFill>
                <a:latin typeface="+mn-lt"/>
              </a:rPr>
              <a:t>Facturación por Mes 1997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Resultados!$E$2</c:f>
            </c:strRef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circle"/>
            <c:size val="14"/>
            <c:spPr>
              <a:solidFill>
                <a:srgbClr val="93C47D">
                  <a:alpha val="100000"/>
                </a:srgbClr>
              </a:solidFill>
              <a:ln cmpd="sng">
                <a:solidFill>
                  <a:srgbClr val="93C47D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434343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Resultados!$D$3:$D$14</c:f>
            </c:strRef>
          </c:cat>
          <c:val>
            <c:numRef>
              <c:f>Resultados!$E$3:$E$14</c:f>
              <c:numCache/>
            </c:numRef>
          </c:val>
          <c:smooth val="1"/>
        </c:ser>
        <c:axId val="1747693586"/>
        <c:axId val="684164346"/>
      </c:lineChart>
      <c:catAx>
        <c:axId val="1747693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4164346"/>
      </c:catAx>
      <c:valAx>
        <c:axId val="6841643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76935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34343"/>
                </a:solidFill>
                <a:latin typeface="+mn-lt"/>
              </a:defRPr>
            </a:pPr>
            <a:r>
              <a:rPr b="0">
                <a:solidFill>
                  <a:srgbClr val="434343"/>
                </a:solidFill>
                <a:latin typeface="+mn-lt"/>
              </a:rPr>
              <a:t>Ventas Totales por Año "Condimentos"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Resultados!$G$2</c:f>
            </c:strRef>
          </c:tx>
          <c:spPr>
            <a:solidFill>
              <a:srgbClr val="EA9999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Resultados!$G$3:$G$5</c:f>
              <c:numCache/>
            </c:numRef>
          </c:val>
        </c:ser>
        <c:ser>
          <c:idx val="1"/>
          <c:order val="1"/>
          <c:tx>
            <c:strRef>
              <c:f>Resultados!$H$2</c:f>
            </c:strRef>
          </c:tx>
          <c:spPr>
            <a:solidFill>
              <a:srgbClr val="76A5AF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Resultados!$H$3:$H$5</c:f>
              <c:numCache/>
            </c:numRef>
          </c:val>
        </c:ser>
        <c:axId val="683002212"/>
        <c:axId val="1139228729"/>
      </c:bar3DChart>
      <c:catAx>
        <c:axId val="6830022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9228729"/>
      </c:catAx>
      <c:valAx>
        <c:axId val="11392287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30022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34343"/>
                </a:solidFill>
                <a:latin typeface="+mn-lt"/>
              </a:defRPr>
            </a:pPr>
            <a:r>
              <a:rPr b="0">
                <a:solidFill>
                  <a:srgbClr val="434343"/>
                </a:solidFill>
                <a:latin typeface="+mn-lt"/>
              </a:rPr>
              <a:t>Facturación por Mes -Bebidas y Confites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Resultados!$N$2</c:f>
            </c:strRef>
          </c:tx>
          <c:spPr>
            <a:ln cmpd="sng">
              <a:solidFill>
                <a:srgbClr val="76A5AF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76A5AF">
                  <a:alpha val="100000"/>
                </a:srgbClr>
              </a:solidFill>
              <a:ln cmpd="sng">
                <a:solidFill>
                  <a:srgbClr val="76A5AF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4C113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Resultados!$M$3:$M$14</c:f>
            </c:strRef>
          </c:cat>
          <c:val>
            <c:numRef>
              <c:f>Resultados!$N$3:$N$14</c:f>
              <c:numCache/>
            </c:numRef>
          </c:val>
          <c:smooth val="1"/>
        </c:ser>
        <c:ser>
          <c:idx val="1"/>
          <c:order val="1"/>
          <c:tx>
            <c:strRef>
              <c:f>Resultados!$O$2</c:f>
            </c:strRef>
          </c:tx>
          <c:spPr>
            <a:ln cmpd="sng">
              <a:solidFill>
                <a:srgbClr val="DD7E6B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DD7E6B">
                  <a:alpha val="100000"/>
                </a:srgbClr>
              </a:solidFill>
              <a:ln cmpd="sng">
                <a:solidFill>
                  <a:srgbClr val="DD7E6B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4C113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Resultados!$M$3:$M$14</c:f>
            </c:strRef>
          </c:cat>
          <c:val>
            <c:numRef>
              <c:f>Resultados!$O$3:$O$14</c:f>
              <c:numCache/>
            </c:numRef>
          </c:val>
          <c:smooth val="1"/>
        </c:ser>
        <c:ser>
          <c:idx val="2"/>
          <c:order val="2"/>
          <c:tx>
            <c:strRef>
              <c:f>Resultados!$P$2</c:f>
            </c:strRef>
          </c:tx>
          <c:spPr>
            <a:ln cmpd="sng">
              <a:solidFill>
                <a:srgbClr val="45818E">
                  <a:alpha val="100000"/>
                </a:srgbClr>
              </a:solidFill>
            </a:ln>
          </c:spPr>
          <c:marker>
            <c:symbol val="circle"/>
            <c:size val="14"/>
            <c:spPr>
              <a:solidFill>
                <a:srgbClr val="45818E">
                  <a:alpha val="100000"/>
                </a:srgbClr>
              </a:solidFill>
              <a:ln cmpd="sng">
                <a:solidFill>
                  <a:srgbClr val="45818E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4C113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Resultados!$M$3:$M$14</c:f>
            </c:strRef>
          </c:cat>
          <c:val>
            <c:numRef>
              <c:f>Resultados!$P$3:$P$14</c:f>
              <c:numCache/>
            </c:numRef>
          </c:val>
          <c:smooth val="1"/>
        </c:ser>
        <c:axId val="1080985095"/>
        <c:axId val="883248283"/>
      </c:lineChart>
      <c:catAx>
        <c:axId val="1080985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3248283"/>
      </c:catAx>
      <c:valAx>
        <c:axId val="883248283"/>
        <c:scaling>
          <c:orientation val="minMax"/>
        </c:scaling>
        <c:delete val="0"/>
        <c:axPos val="l"/>
        <c:majorGridlines>
          <c:spPr>
            <a:ln>
              <a:solidFill>
                <a:srgbClr val="999999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09850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Chart4.png"/><Relationship Id="rId5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1</xdr:row>
      <xdr:rowOff>171450</xdr:rowOff>
    </xdr:from>
    <xdr:ext cx="6762750" cy="41910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904875</xdr:colOff>
      <xdr:row>26</xdr:row>
      <xdr:rowOff>76200</xdr:rowOff>
    </xdr:from>
    <xdr:ext cx="20945475" cy="54483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295275</xdr:colOff>
      <xdr:row>1</xdr:row>
      <xdr:rowOff>171450</xdr:rowOff>
    </xdr:from>
    <xdr:ext cx="6762750" cy="41910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523875</xdr:colOff>
      <xdr:row>1</xdr:row>
      <xdr:rowOff>171450</xdr:rowOff>
    </xdr:from>
    <xdr:ext cx="6724650" cy="4191000"/>
    <xdr:pic>
      <xdr:nvPicPr>
        <xdr:cNvPr id="613310384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904875</xdr:colOff>
      <xdr:row>57</xdr:row>
      <xdr:rowOff>9525</xdr:rowOff>
    </xdr:from>
    <xdr:ext cx="20945475" cy="66103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0"/>
    <col customWidth="1" min="4" max="5" width="21.0"/>
    <col customWidth="1" min="7" max="8" width="28.13"/>
    <col customWidth="1" min="10" max="11" width="32.25"/>
    <col customWidth="1" min="12" max="12" width="13.38"/>
    <col customWidth="1" min="13" max="13" width="11.63"/>
    <col customWidth="1" min="14" max="14" width="13.38"/>
    <col customWidth="1" min="15" max="15" width="21.38"/>
    <col customWidth="1" min="16" max="16" width="22.25"/>
  </cols>
  <sheetData>
    <row r="1">
      <c r="A1" s="1" t="s">
        <v>0</v>
      </c>
      <c r="D1" s="1" t="s">
        <v>1</v>
      </c>
      <c r="G1" s="1" t="s">
        <v>2</v>
      </c>
      <c r="J1" s="1" t="s">
        <v>3</v>
      </c>
      <c r="M1" s="1" t="s">
        <v>4</v>
      </c>
    </row>
    <row r="2">
      <c r="A2" s="2" t="s">
        <v>5</v>
      </c>
      <c r="B2" s="2" t="s">
        <v>6</v>
      </c>
      <c r="D2" s="2" t="s">
        <v>7</v>
      </c>
      <c r="E2" s="2" t="s">
        <v>6</v>
      </c>
      <c r="G2" s="2" t="s">
        <v>5</v>
      </c>
      <c r="H2" s="2" t="s">
        <v>6</v>
      </c>
      <c r="J2" s="2" t="s">
        <v>8</v>
      </c>
      <c r="K2" s="2" t="s">
        <v>9</v>
      </c>
      <c r="M2" s="2" t="s">
        <v>7</v>
      </c>
      <c r="N2" s="2" t="s">
        <v>10</v>
      </c>
      <c r="O2" s="2" t="s">
        <v>11</v>
      </c>
      <c r="P2" s="2" t="s">
        <v>12</v>
      </c>
    </row>
    <row r="3">
      <c r="A3" s="3">
        <v>1996.0</v>
      </c>
      <c r="B3" s="4">
        <v>208083.97</v>
      </c>
      <c r="D3" s="3" t="s">
        <v>13</v>
      </c>
      <c r="E3" s="5">
        <v>61258.07</v>
      </c>
      <c r="G3" s="6">
        <v>1996.0</v>
      </c>
      <c r="H3" s="5">
        <v>17900.38</v>
      </c>
      <c r="J3" s="6" t="s">
        <v>14</v>
      </c>
      <c r="K3" s="6">
        <v>326.0</v>
      </c>
      <c r="M3" s="6" t="s">
        <v>13</v>
      </c>
      <c r="N3" s="6">
        <v>1.0</v>
      </c>
      <c r="O3" s="7">
        <v>21904.16</v>
      </c>
      <c r="P3" s="7">
        <v>9128.11</v>
      </c>
    </row>
    <row r="4">
      <c r="A4" s="3">
        <v>1997.0</v>
      </c>
      <c r="B4" s="4">
        <v>617085.2</v>
      </c>
      <c r="D4" s="3" t="s">
        <v>15</v>
      </c>
      <c r="E4" s="5">
        <v>38483.64</v>
      </c>
      <c r="G4" s="6">
        <v>1997.0</v>
      </c>
      <c r="H4" s="8">
        <v>55368.59</v>
      </c>
      <c r="J4" s="6" t="s">
        <v>16</v>
      </c>
      <c r="K4" s="6">
        <v>255.0</v>
      </c>
      <c r="M4" s="6" t="s">
        <v>15</v>
      </c>
      <c r="N4" s="6">
        <v>2.0</v>
      </c>
      <c r="O4" s="7">
        <v>2845.84</v>
      </c>
      <c r="P4" s="7">
        <v>6978.88</v>
      </c>
    </row>
    <row r="5">
      <c r="A5" s="3">
        <v>1998.0</v>
      </c>
      <c r="B5" s="4">
        <v>440623.87</v>
      </c>
      <c r="D5" s="3" t="s">
        <v>17</v>
      </c>
      <c r="E5" s="5">
        <v>38547.22</v>
      </c>
      <c r="G5" s="6">
        <v>1998.0</v>
      </c>
      <c r="H5" s="8">
        <v>32778.11</v>
      </c>
      <c r="J5" s="6" t="s">
        <v>18</v>
      </c>
      <c r="K5" s="6">
        <v>249.0</v>
      </c>
      <c r="M5" s="6" t="s">
        <v>17</v>
      </c>
      <c r="N5" s="6">
        <v>3.0</v>
      </c>
      <c r="O5" s="7">
        <v>10636.88</v>
      </c>
      <c r="P5" s="7">
        <v>3209.93</v>
      </c>
    </row>
    <row r="6">
      <c r="D6" s="3" t="s">
        <v>19</v>
      </c>
      <c r="E6" s="5">
        <v>53032.95</v>
      </c>
      <c r="M6" s="6" t="s">
        <v>19</v>
      </c>
      <c r="N6" s="6">
        <v>4.0</v>
      </c>
      <c r="O6" s="7">
        <v>7074.35</v>
      </c>
      <c r="P6" s="7">
        <v>11538.61</v>
      </c>
    </row>
    <row r="7">
      <c r="D7" s="3" t="s">
        <v>20</v>
      </c>
      <c r="E7" s="5">
        <v>53781.29</v>
      </c>
      <c r="M7" s="6" t="s">
        <v>20</v>
      </c>
      <c r="N7" s="6">
        <v>5.0</v>
      </c>
      <c r="O7" s="7">
        <v>15422.25</v>
      </c>
      <c r="P7" s="7">
        <v>7689.82</v>
      </c>
    </row>
    <row r="8">
      <c r="D8" s="3" t="s">
        <v>21</v>
      </c>
      <c r="E8" s="5">
        <v>36362.8</v>
      </c>
      <c r="G8" s="9" t="s">
        <v>22</v>
      </c>
      <c r="M8" s="6" t="s">
        <v>21</v>
      </c>
      <c r="N8" s="6">
        <v>6.0</v>
      </c>
      <c r="O8" s="7">
        <v>3485.43</v>
      </c>
      <c r="P8" s="7">
        <v>2174.89</v>
      </c>
    </row>
    <row r="9">
      <c r="D9" s="3" t="s">
        <v>23</v>
      </c>
      <c r="E9" s="5">
        <v>51020.86</v>
      </c>
      <c r="M9" s="6" t="s">
        <v>23</v>
      </c>
      <c r="N9" s="6">
        <v>7.0</v>
      </c>
      <c r="O9" s="7">
        <v>7889.23</v>
      </c>
      <c r="P9" s="7">
        <v>6462.6</v>
      </c>
    </row>
    <row r="10">
      <c r="D10" s="3" t="s">
        <v>24</v>
      </c>
      <c r="E10" s="5">
        <v>47287.67</v>
      </c>
      <c r="M10" s="6" t="s">
        <v>24</v>
      </c>
      <c r="N10" s="6">
        <v>8.0</v>
      </c>
      <c r="O10" s="7">
        <v>5836.93</v>
      </c>
      <c r="P10" s="7">
        <v>7105.63</v>
      </c>
    </row>
    <row r="11">
      <c r="D11" s="3" t="s">
        <v>25</v>
      </c>
      <c r="E11" s="5">
        <v>55629.24</v>
      </c>
      <c r="M11" s="6" t="s">
        <v>25</v>
      </c>
      <c r="N11" s="6">
        <v>9.0</v>
      </c>
      <c r="O11" s="7">
        <v>5726.7</v>
      </c>
      <c r="P11" s="7">
        <v>6708.59</v>
      </c>
    </row>
    <row r="12">
      <c r="D12" s="3" t="s">
        <v>26</v>
      </c>
      <c r="E12" s="5">
        <v>66749.23</v>
      </c>
      <c r="M12" s="6" t="s">
        <v>26</v>
      </c>
      <c r="N12" s="6">
        <v>10.0</v>
      </c>
      <c r="O12" s="7">
        <v>8374.9</v>
      </c>
      <c r="P12" s="7">
        <v>7800.7</v>
      </c>
    </row>
    <row r="13">
      <c r="D13" s="3" t="s">
        <v>27</v>
      </c>
      <c r="E13" s="5">
        <v>43533.81</v>
      </c>
      <c r="M13" s="6" t="s">
        <v>27</v>
      </c>
      <c r="N13" s="6">
        <v>11.0</v>
      </c>
      <c r="O13" s="7" t="s">
        <v>28</v>
      </c>
      <c r="P13" s="7">
        <v>5081.85</v>
      </c>
    </row>
    <row r="14">
      <c r="D14" s="3" t="s">
        <v>29</v>
      </c>
      <c r="E14" s="5">
        <v>71398.43</v>
      </c>
      <c r="M14" s="6" t="s">
        <v>29</v>
      </c>
      <c r="N14" s="6">
        <v>12.0</v>
      </c>
      <c r="O14" s="7">
        <v>10876.65</v>
      </c>
      <c r="P14" s="7">
        <v>8778.15</v>
      </c>
    </row>
  </sheetData>
  <mergeCells count="5">
    <mergeCell ref="A1:B1"/>
    <mergeCell ref="D1:E1"/>
    <mergeCell ref="G1:H1"/>
    <mergeCell ref="J1:K1"/>
    <mergeCell ref="M1:P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4" max="14" width="14.38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0" t="s">
        <v>30</v>
      </c>
    </row>
    <row r="3">
      <c r="B3" s="10" t="s">
        <v>31</v>
      </c>
    </row>
    <row r="4">
      <c r="B4" s="10" t="s">
        <v>32</v>
      </c>
    </row>
    <row r="5">
      <c r="B5" s="10" t="s">
        <v>33</v>
      </c>
    </row>
    <row r="6">
      <c r="B6" s="9" t="s">
        <v>34</v>
      </c>
    </row>
    <row r="7">
      <c r="B7" s="10" t="s">
        <v>35</v>
      </c>
    </row>
    <row r="8">
      <c r="B8" s="10" t="s">
        <v>36</v>
      </c>
    </row>
    <row r="9">
      <c r="B9" s="10" t="s">
        <v>37</v>
      </c>
    </row>
    <row r="10">
      <c r="B10" s="10" t="s">
        <v>38</v>
      </c>
    </row>
    <row r="11">
      <c r="B11" s="10" t="s">
        <v>39</v>
      </c>
    </row>
    <row r="12">
      <c r="B12" s="10" t="s">
        <v>40</v>
      </c>
      <c r="E12" s="11"/>
    </row>
    <row r="16">
      <c r="B16" s="10" t="s">
        <v>41</v>
      </c>
    </row>
    <row r="17">
      <c r="B17" s="10" t="s">
        <v>42</v>
      </c>
    </row>
    <row r="18">
      <c r="B18" s="10" t="s">
        <v>43</v>
      </c>
    </row>
    <row r="19">
      <c r="B19" s="10" t="s">
        <v>44</v>
      </c>
    </row>
    <row r="20">
      <c r="B20" s="10" t="s">
        <v>45</v>
      </c>
    </row>
    <row r="21">
      <c r="B21" s="10" t="s">
        <v>46</v>
      </c>
    </row>
    <row r="22">
      <c r="B22" s="10" t="s">
        <v>47</v>
      </c>
    </row>
    <row r="23">
      <c r="B23" s="10" t="s">
        <v>48</v>
      </c>
    </row>
    <row r="24">
      <c r="B24" s="10" t="s">
        <v>49</v>
      </c>
    </row>
    <row r="25">
      <c r="B25" s="10" t="s">
        <v>50</v>
      </c>
    </row>
    <row r="29">
      <c r="B29" s="10" t="s">
        <v>51</v>
      </c>
    </row>
    <row r="30">
      <c r="B30" s="10" t="s">
        <v>52</v>
      </c>
    </row>
    <row r="31">
      <c r="B31" s="10" t="s">
        <v>53</v>
      </c>
    </row>
    <row r="32">
      <c r="B32" s="10" t="s">
        <v>33</v>
      </c>
    </row>
    <row r="33">
      <c r="B33" s="10" t="s">
        <v>54</v>
      </c>
    </row>
    <row r="34">
      <c r="B34" s="10" t="s">
        <v>55</v>
      </c>
    </row>
    <row r="35">
      <c r="B35" s="10" t="s">
        <v>56</v>
      </c>
    </row>
    <row r="36">
      <c r="B36" s="10" t="s">
        <v>57</v>
      </c>
    </row>
    <row r="37">
      <c r="B37" s="10" t="s">
        <v>58</v>
      </c>
    </row>
    <row r="38">
      <c r="B38" s="10" t="s">
        <v>59</v>
      </c>
    </row>
    <row r="39">
      <c r="B39" s="10" t="s">
        <v>60</v>
      </c>
    </row>
    <row r="40">
      <c r="B40" s="10" t="s">
        <v>61</v>
      </c>
    </row>
    <row r="41">
      <c r="B41" s="9" t="s">
        <v>62</v>
      </c>
    </row>
    <row r="42">
      <c r="B42" s="9" t="s">
        <v>63</v>
      </c>
    </row>
    <row r="43">
      <c r="B43" s="9" t="s">
        <v>64</v>
      </c>
    </row>
    <row r="44">
      <c r="B44" s="9" t="s">
        <v>65</v>
      </c>
    </row>
    <row r="45">
      <c r="B45" s="9" t="s">
        <v>66</v>
      </c>
    </row>
    <row r="46">
      <c r="B46" s="9" t="s">
        <v>67</v>
      </c>
    </row>
    <row r="47">
      <c r="B47" s="9" t="s">
        <v>38</v>
      </c>
    </row>
    <row r="51">
      <c r="B51" s="10" t="s">
        <v>68</v>
      </c>
    </row>
    <row r="52">
      <c r="B52" s="10" t="s">
        <v>69</v>
      </c>
    </row>
    <row r="53">
      <c r="B53" s="10" t="s">
        <v>70</v>
      </c>
    </row>
    <row r="54">
      <c r="B54" s="10" t="s">
        <v>71</v>
      </c>
    </row>
    <row r="55">
      <c r="B55" s="10" t="s">
        <v>72</v>
      </c>
    </row>
    <row r="56">
      <c r="B56" s="10" t="s">
        <v>73</v>
      </c>
    </row>
    <row r="57">
      <c r="B57" s="10" t="s">
        <v>74</v>
      </c>
    </row>
    <row r="58">
      <c r="B58" s="10" t="s">
        <v>75</v>
      </c>
    </row>
    <row r="59">
      <c r="B59" s="10" t="s">
        <v>76</v>
      </c>
    </row>
    <row r="63">
      <c r="B63" s="10" t="s">
        <v>77</v>
      </c>
      <c r="C63" s="12"/>
    </row>
    <row r="64">
      <c r="B64" s="10" t="s">
        <v>78</v>
      </c>
      <c r="C64" s="12"/>
    </row>
    <row r="65">
      <c r="B65" s="10" t="s">
        <v>79</v>
      </c>
      <c r="C65" s="12"/>
    </row>
    <row r="66">
      <c r="B66" s="10" t="s">
        <v>80</v>
      </c>
      <c r="C66" s="12"/>
    </row>
    <row r="67">
      <c r="B67" s="10" t="s">
        <v>33</v>
      </c>
      <c r="C67" s="12"/>
    </row>
    <row r="68">
      <c r="B68" s="10" t="s">
        <v>81</v>
      </c>
      <c r="C68" s="12"/>
    </row>
    <row r="69">
      <c r="B69" s="10" t="s">
        <v>82</v>
      </c>
      <c r="C69" s="12"/>
    </row>
    <row r="70">
      <c r="B70" s="10" t="s">
        <v>83</v>
      </c>
      <c r="C70" s="12"/>
    </row>
    <row r="71">
      <c r="B71" s="10" t="s">
        <v>84</v>
      </c>
      <c r="C71" s="12"/>
    </row>
    <row r="72">
      <c r="B72" s="10" t="s">
        <v>85</v>
      </c>
      <c r="C72" s="12"/>
    </row>
    <row r="73">
      <c r="B73" s="10" t="s">
        <v>86</v>
      </c>
      <c r="C73" s="12"/>
    </row>
    <row r="74">
      <c r="B74" s="10" t="s">
        <v>87</v>
      </c>
      <c r="C74" s="12"/>
    </row>
    <row r="75">
      <c r="B75" s="10" t="s">
        <v>88</v>
      </c>
      <c r="C75" s="12"/>
    </row>
    <row r="76">
      <c r="B76" s="10" t="s">
        <v>89</v>
      </c>
      <c r="C76" s="12"/>
    </row>
    <row r="77">
      <c r="B77" s="10" t="s">
        <v>90</v>
      </c>
      <c r="C77" s="12"/>
    </row>
    <row r="78">
      <c r="B78" s="10" t="s">
        <v>91</v>
      </c>
      <c r="C78" s="12"/>
    </row>
    <row r="79">
      <c r="B79" s="10" t="s">
        <v>92</v>
      </c>
      <c r="C79" s="12"/>
    </row>
    <row r="80">
      <c r="B80" s="10" t="s">
        <v>93</v>
      </c>
      <c r="C80" s="12"/>
    </row>
    <row r="81">
      <c r="B81" s="10" t="s">
        <v>94</v>
      </c>
      <c r="C81" s="12"/>
    </row>
    <row r="82">
      <c r="B82" s="10" t="s">
        <v>95</v>
      </c>
      <c r="C82" s="12"/>
    </row>
    <row r="83">
      <c r="B83" s="10" t="s">
        <v>96</v>
      </c>
      <c r="C83" s="12"/>
    </row>
    <row r="84">
      <c r="B84" s="10" t="s">
        <v>97</v>
      </c>
      <c r="C84" s="12"/>
    </row>
    <row r="85">
      <c r="B85" s="10" t="s">
        <v>61</v>
      </c>
      <c r="C85" s="12"/>
    </row>
    <row r="86">
      <c r="B86" s="10" t="s">
        <v>62</v>
      </c>
      <c r="C86" s="12"/>
    </row>
    <row r="87">
      <c r="B87" s="10" t="s">
        <v>98</v>
      </c>
      <c r="C87" s="12"/>
    </row>
    <row r="88">
      <c r="B88" s="10" t="s">
        <v>64</v>
      </c>
      <c r="C88" s="12"/>
    </row>
    <row r="89">
      <c r="B89" s="10" t="s">
        <v>65</v>
      </c>
      <c r="C89" s="12"/>
    </row>
    <row r="90">
      <c r="B90" s="10" t="s">
        <v>99</v>
      </c>
      <c r="C90" s="12"/>
    </row>
    <row r="91">
      <c r="B91" s="10" t="s">
        <v>100</v>
      </c>
      <c r="C91" s="12"/>
    </row>
    <row r="92">
      <c r="B92" s="10" t="s">
        <v>101</v>
      </c>
      <c r="C92" s="12"/>
    </row>
    <row r="93">
      <c r="B93" s="10" t="s">
        <v>102</v>
      </c>
      <c r="C93" s="12"/>
    </row>
    <row r="94">
      <c r="B94" s="10" t="s">
        <v>103</v>
      </c>
      <c r="C94" s="12"/>
    </row>
  </sheetData>
  <drawing r:id="rId1"/>
</worksheet>
</file>